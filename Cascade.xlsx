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50ba1dd4f254338" /></Relationships>
</file>

<file path=xl/workbook.xml><?xml version="1.0" encoding="utf-8"?>
<x:workbook xmlns:x="http://schemas.openxmlformats.org/spreadsheetml/2006/main">
  <x:sheets>
    <x:sheet xmlns:r="http://schemas.openxmlformats.org/officeDocument/2006/relationships" name="Inputs_Sources" sheetId="1" r:id="Ra6c96221ba4d419c"/>
    <x:sheet xmlns:r="http://schemas.openxmlformats.org/officeDocument/2006/relationships" name="L1_Cascade" sheetId="2" r:id="R9fad0692cc2b46d8"/>
    <x:sheet xmlns:r="http://schemas.openxmlformats.org/officeDocument/2006/relationships" name="L2L5_Cascade" sheetId="3" r:id="Reecd0c7d51bd4eb2"/>
    <x:sheet xmlns:r="http://schemas.openxmlformats.org/officeDocument/2006/relationships" name="Interference_Headroom" sheetId="4" r:id="Rd299ca004a8444cd"/>
    <x:sheet xmlns:r="http://schemas.openxmlformats.org/officeDocument/2006/relationships" name="Level_Diagram" sheetId="5" r:id="R3f168bbed6fc4d4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
  </x:numFmts>
  <x:fonts count="4">
    <x:font>
      <x:sz val="11"/>
      <x:name val="Carlito"/>
    </x:font>
    <x:font>
      <x:b/>
      <x:sz val="14"/>
      <x:color rgb="FFFFFFFF"/>
      <x:name val="Carlito"/>
    </x:font>
    <x:font>
      <x:b/>
      <x:sz val="11"/>
      <x:color rgb="FFFFFFFF"/>
      <x:name val="Carlito"/>
    </x:font>
    <x:font>
      <x:b/>
      <x:sz val="11"/>
      <x:color rgb="FF17365D"/>
      <x:name val="Carlito"/>
    </x:font>
  </x:fonts>
  <x:fills count="11">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FFF2CC"/>
      </x:patternFill>
    </x:fill>
    <x:fill>
      <x:patternFill patternType="solid">
        <x:fgColor rgb="FFE2F0D9"/>
      </x:patternFill>
    </x:fill>
    <x:fill>
      <x:patternFill patternType="solid">
        <x:fgColor rgb="FFD9EAF7"/>
      </x:patternFill>
    </x:fill>
    <x:fill>
      <x:patternFill patternType="solid">
        <x:fgColor rgb="FFFCE4D6"/>
      </x:patternFill>
    </x:fill>
    <x:fill>
      <x:patternFill patternType="solid">
        <x:fgColor rgb="FF1F4E78"/>
      </x:patternFill>
    </x:fill>
    <x:fill>
      <x:patternFill patternType="solid">
        <x:fgColor rgb="FFFCE4D6"/>
      </x:patternFill>
    </x:fill>
    <x:fill>
      <x:patternFill patternType="solid">
        <x:fgColor rgb="FFFFF2CC"/>
      </x:patternFill>
    </x:fill>
  </x:fills>
  <x:borders count="18">
    <x:border/>
    <x:border/>
    <x:border>
      <x:left style="thin">
        <x:color rgb="FFBFBFBF"/>
      </x:left>
      <x:top style="thin">
        <x:color rgb="FFBFBFBF"/>
      </x:top>
    </x:border>
    <x:border>
      <x:top style="thin">
        <x:color rgb="FFBFBFBF"/>
      </x:top>
    </x:border>
    <x:border>
      <x:right style="thin">
        <x:color rgb="FFBFBFBF"/>
      </x:right>
      <x:top style="thin">
        <x:color rgb="FFBFBFBF"/>
      </x:top>
    </x:border>
    <x:border>
      <x:left style="thin">
        <x:color rgb="FFBFBFBF"/>
      </x:left>
    </x:border>
    <x:border>
      <x:right style="thin">
        <x:color rgb="FFBFBFBF"/>
      </x:right>
    </x:border>
    <x:border>
      <x:left style="thin">
        <x:color rgb="FFBFBFBF"/>
      </x:left>
      <x:bottom style="thin">
        <x:color rgb="FFBFBFBF"/>
      </x:bottom>
    </x:border>
    <x:border>
      <x:bottom style="thin">
        <x:color rgb="FFBFBFBF"/>
      </x:bottom>
    </x:border>
    <x:border>
      <x:right style="thin">
        <x:color rgb="FFBFBFBF"/>
      </x:right>
      <x:bottom style="thin">
        <x:color rgb="FFBFBFBF"/>
      </x:bottom>
    </x:border>
    <x:border>
      <x:left style="thin">
        <x:color rgb="FFBFBFBF"/>
      </x:left>
      <x:top style="thin">
        <x:color rgb="FFBFBFBF"/>
      </x:top>
    </x:border>
    <x:border>
      <x:top style="thin">
        <x:color rgb="FFBFBFBF"/>
      </x:top>
    </x:border>
    <x:border>
      <x:right style="thin">
        <x:color rgb="FFBFBFBF"/>
      </x:right>
      <x:top style="thin">
        <x:color rgb="FFBFBFBF"/>
      </x:top>
    </x:border>
    <x:border>
      <x:left style="thin">
        <x:color rgb="FFBFBFBF"/>
      </x:left>
    </x:border>
    <x:border>
      <x:right style="thin">
        <x:color rgb="FFBFBFBF"/>
      </x:right>
    </x:border>
    <x:border>
      <x:left style="thin">
        <x:color rgb="FFBFBFBF"/>
      </x:left>
      <x:bottom style="thin">
        <x:color rgb="FFBFBFBF"/>
      </x:bottom>
    </x:border>
    <x:border>
      <x:bottom style="thin">
        <x:color rgb="FFBFBFBF"/>
      </x:bottom>
    </x:border>
    <x:border>
      <x:right style="thin">
        <x:color rgb="FFBFBFBF"/>
      </x:right>
      <x:bottom style="thin">
        <x:color rgb="FFBFBFBF"/>
      </x:bottom>
    </x:border>
  </x:borders>
  <x:cellStyleXfs count="1">
    <x:xf numFmtId="0" fontId="0" fillId="0" borderId="0"/>
  </x:cellStyleXfs>
  <x:cellXfs count="8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0"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200" fontId="0" fillId="4" borderId="0" xfId="0" applyNumberFormat="1" applyFont="1" applyFill="1" applyBorder="1"/>
    <x:xf numFmtId="200" fontId="0" fillId="5" borderId="0" xfId="0" applyNumberFormat="1" applyFont="1" applyFill="1" applyBorder="1"/>
    <x:xf numFmtId="200" fontId="0" fillId="4" borderId="1" xfId="0" applyNumberFormat="1" applyFont="1" applyFill="1" applyBorder="1"/>
    <x:xf numFmtId="200" fontId="0" fillId="5" borderId="1"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left"/>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left"/>
    </x:xf>
    <x:xf numFmtId="0" fontId="1" fillId="2" borderId="0"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200" fontId="0" fillId="4" borderId="0" xfId="0" applyNumberFormat="1" applyFont="1" applyFill="1" applyBorder="1" applyAlignment="1">
      <x:alignment wrapText="1"/>
    </x:xf>
    <x:xf numFmtId="200" fontId="0" fillId="5" borderId="0" xfId="0" applyNumberFormat="1" applyFont="1" applyFill="1" applyBorder="1" applyAlignment="1">
      <x:alignment wrapText="1"/>
    </x:xf>
    <x:xf numFmtId="0" fontId="3" fillId="6" borderId="0"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0" fillId="0" borderId="1" xfId="0" applyNumberFormat="1" applyFont="1" applyFill="1" applyBorder="1" applyAlignment="1">
      <x:alignment wrapText="1"/>
    </x:xf>
    <x:xf numFmtId="200" fontId="0" fillId="4" borderId="1" xfId="0" applyNumberFormat="1" applyFont="1" applyFill="1" applyBorder="1" applyAlignment="1">
      <x:alignment wrapText="1"/>
    </x:xf>
    <x:xf numFmtId="200" fontId="0" fillId="5" borderId="1" xfId="0" applyNumberFormat="1" applyFont="1" applyFill="1" applyBorder="1" applyAlignment="1">
      <x:alignment wrapText="1"/>
    </x:xf>
    <x:xf numFmtId="0" fontId="3" fillId="6" borderId="1" xfId="0" applyNumberFormat="1" applyFont="1" applyFill="1" applyBorder="1" applyAlignment="1">
      <x:alignment horizontal="left" wrapText="1"/>
    </x:xf>
    <x:xf numFmtId="0" fontId="0" fillId="4" borderId="0" xfId="0" applyNumberFormat="1" applyFont="1" applyFill="1" applyBorder="1" applyAlignment="1">
      <x:alignment wrapText="1"/>
    </x:xf>
    <x:xf numFmtId="0" fontId="0" fillId="5" borderId="0" xfId="0" applyNumberFormat="1" applyFont="1" applyFill="1" applyBorder="1" applyAlignment="1">
      <x:alignment wrapText="1"/>
    </x:xf>
    <x:xf numFmtId="0" fontId="0" fillId="4" borderId="1" xfId="0" applyNumberFormat="1" applyFont="1" applyFill="1" applyBorder="1" applyAlignment="1">
      <x:alignment wrapText="1"/>
    </x:xf>
    <x:xf numFmtId="0" fontId="0" fillId="5" borderId="1" xfId="0" applyNumberFormat="1" applyFont="1" applyFill="1" applyBorder="1" applyAlignment="1">
      <x:alignment wrapText="1"/>
    </x:xf>
    <x:xf numFmtId="0" fontId="0" fillId="7" borderId="0" xfId="0" applyNumberFormat="1" applyFont="1" applyFill="1" applyBorder="1" applyAlignment="1">
      <x:alignment wrapText="1"/>
    </x:xf>
    <x:xf numFmtId="0" fontId="0" fillId="7" borderId="1" xfId="0" applyNumberFormat="1" applyFont="1" applyFill="1" applyBorder="1" applyAlignment="1">
      <x:alignment wrapText="1"/>
    </x:xf>
    <x:xf numFmtId="201" fontId="0" fillId="4" borderId="0" xfId="0" applyNumberFormat="1" applyFont="1" applyFill="1" applyBorder="1" applyAlignment="1">
      <x:alignment wrapText="1"/>
    </x:xf>
    <x:xf numFmtId="201" fontId="0" fillId="5" borderId="0" xfId="0" applyNumberFormat="1" applyFont="1" applyFill="1" applyBorder="1" applyAlignment="1">
      <x:alignment wrapText="1"/>
    </x:xf>
    <x:xf numFmtId="201" fontId="0" fillId="4" borderId="1" xfId="0" applyNumberFormat="1" applyFont="1" applyFill="1" applyBorder="1" applyAlignment="1">
      <x:alignment wrapText="1"/>
    </x:xf>
    <x:xf numFmtId="201" fontId="0" fillId="5" borderId="1" xfId="0" applyNumberFormat="1" applyFont="1" applyFill="1" applyBorder="1" applyAlignment="1">
      <x:alignment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2" fillId="3" borderId="4" xfId="0" applyNumberFormat="1" applyFont="1" applyFill="1" applyBorder="1" applyAlignment="1">
      <x:alignment horizontal="center" vertical="center"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201" fontId="0" fillId="4" borderId="8" xfId="0" applyNumberFormat="1" applyFont="1" applyFill="1" applyBorder="1" applyAlignment="1">
      <x:alignment wrapText="1"/>
    </x:xf>
    <x:xf numFmtId="201" fontId="0" fillId="5" borderId="8" xfId="0" applyNumberFormat="1" applyFont="1" applyFill="1" applyBorder="1" applyAlignment="1">
      <x:alignment wrapText="1"/>
    </x:xf>
    <x:xf numFmtId="0" fontId="0" fillId="0" borderId="9" xfId="0" applyNumberFormat="1" applyFont="1" applyFill="1" applyBorder="1" applyAlignment="1">
      <x:alignment wrapText="1"/>
    </x:xf>
    <x:xf numFmtId="0" fontId="2" fillId="3" borderId="10" xfId="0" applyNumberFormat="1" applyFont="1" applyFill="1" applyBorder="1" applyAlignment="1">
      <x:alignment horizontal="center" vertical="center" wrapText="1"/>
    </x:xf>
    <x:xf numFmtId="0" fontId="2" fillId="3" borderId="11" xfId="0" applyNumberFormat="1" applyFont="1" applyFill="1" applyBorder="1" applyAlignment="1">
      <x:alignment horizontal="center" vertical="center" wrapText="1"/>
    </x:xf>
    <x:xf numFmtId="0" fontId="2" fillId="3" borderId="12" xfId="0" applyNumberFormat="1" applyFont="1" applyFill="1" applyBorder="1" applyAlignment="1">
      <x:alignment horizontal="center" vertical="center"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201" fontId="0" fillId="4" borderId="16" xfId="0" applyNumberFormat="1" applyFont="1" applyFill="1" applyBorder="1" applyAlignment="1">
      <x:alignment wrapText="1"/>
    </x:xf>
    <x:xf numFmtId="201" fontId="0" fillId="5"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0" xfId="0" applyNumberFormat="1" applyFont="1" applyFill="1" applyBorder="1"/>
    <x:xf numFmtId="0" fontId="2" fillId="8" borderId="4" xfId="0" applyNumberFormat="1" applyFont="1" applyFill="1" applyBorder="1" applyAlignment="1">
      <x:alignment horizontal="center" vertical="center" wrapText="1"/>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2" fillId="8" borderId="0" xfId="0" applyNumberFormat="1" applyFont="1" applyFill="1" applyBorder="1" applyAlignment="1">
      <x:alignment horizontal="center" wrapText="1"/>
    </x:xf>
    <x:xf numFmtId="0" fontId="2" fillId="8" borderId="0" xfId="0" applyNumberFormat="1" applyFont="1" applyFill="1" applyBorder="1" applyAlignment="1">
      <x:alignment horizontal="center" vertical="center" wrapText="1"/>
    </x:xf>
    <x:xf numFmtId="0" fontId="0" fillId="9" borderId="0" xfId="0" applyNumberFormat="1" applyFont="1" applyFill="1" applyBorder="1" applyAlignment="1">
      <x:alignment wrapText="1"/>
    </x:xf>
    <x:xf numFmtId="200" fontId="0" fillId="10" borderId="0" xfId="0" applyNumberFormat="1" applyFont="1" applyFill="1" applyBorder="1" applyAlignment="1">
      <x:alignment wrapText="1"/>
    </x:xf>
    <x:xf numFmtId="0" fontId="0" fillId="1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d91c9321533432e" /><Relationship Type="http://schemas.openxmlformats.org/officeDocument/2006/relationships/theme" Target="/xl/theme/theme1.xml" Id="Ra1465de12faa4ef9" /><Relationship Type="http://schemas.openxmlformats.org/officeDocument/2006/relationships/sharedStrings" Target="/xl/sharedStrings.xml" Id="R93b4dd6012364cac" /><Relationship Type="http://schemas.openxmlformats.org/officeDocument/2006/relationships/worksheet" Target="/xl/worksheets/sheet1.xml" Id="Ra6c96221ba4d419c" /><Relationship Type="http://schemas.openxmlformats.org/officeDocument/2006/relationships/worksheet" Target="/xl/worksheets/sheet2.xml" Id="R9fad0692cc2b46d8" /><Relationship Type="http://schemas.openxmlformats.org/officeDocument/2006/relationships/worksheet" Target="/xl/worksheets/sheet3.xml" Id="Reecd0c7d51bd4eb2" /><Relationship Type="http://schemas.openxmlformats.org/officeDocument/2006/relationships/worksheet" Target="/xl/worksheets/sheet4.xml" Id="Rd299ca004a8444cd" /><Relationship Type="http://schemas.openxmlformats.org/officeDocument/2006/relationships/worksheet" Target="/xl/worksheets/sheet5.xml" Id="R3f168bbed6fc4d4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0" hidden="0" customWidth="1"/>
    <x:col min="2" max="2" width="32" hidden="0" customWidth="1"/>
    <x:col min="3" max="3" width="48" hidden="0" customWidth="1"/>
    <x:col min="4" max="4" width="28" hidden="0" customWidth="1"/>
    <x:col min="5" max="5" width="24" hidden="0" customWidth="1"/>
    <x:col min="6" max="6" width="52" hidden="0" customWidth="1"/>
    <x:col min="7" max="7" width="24" hidden="0" customWidth="1"/>
  </x:cols>
  <x:sheetData>
    <x:row r="1" ht="26" customHeight="1">
      <x:c r="A1" s="34" t="str">
        <x:v>CRPA Cascade Analysis — Inputs, Assumptions and Sources</x:v>
      </x:c>
      <x:c r="B1" s="34"/>
      <x:c r="C1" s="34"/>
      <x:c r="D1" s="34"/>
      <x:c r="E1" s="34"/>
      <x:c r="F1" s="34"/>
      <x:c r="G1" s="35"/>
    </x:row>
    <x:row r="2">
      <x:c r="A2" s="35"/>
      <x:c r="B2" s="35"/>
      <x:c r="C2" s="35"/>
      <x:c r="D2" s="35"/>
      <x:c r="E2" s="35"/>
      <x:c r="F2" s="35"/>
      <x:c r="G2" s="35"/>
    </x:row>
    <x:row r="3">
      <x:c r="A3" s="14" t="str">
        <x:v>Design / analysis input</x:v>
      </x:c>
      <x:c r="B3" s="14" t="str">
        <x:v>L1</x:v>
      </x:c>
      <x:c r="C3" s="14" t="str">
        <x:v>L2+L5</x:v>
      </x:c>
      <x:c r="D3" s="14" t="str">
        <x:v>Unit</x:v>
      </x:c>
      <x:c r="E3" s="14" t="str">
        <x:v>Type</x:v>
      </x:c>
      <x:c r="F3" s="14" t="str">
        <x:v>Note</x:v>
      </x:c>
      <x:c r="G3" s="35"/>
    </x:row>
    <x:row r="4">
      <x:c r="A4" s="35" t="str">
        <x:v>Reference temperature</x:v>
      </x:c>
      <x:c r="B4" s="36" t="n">
        <x:v>290</x:v>
      </x:c>
      <x:c r="C4" s="36" t="n">
        <x:v>290</x:v>
      </x:c>
      <x:c r="D4" s="35" t="str">
        <x:v>K</x:v>
      </x:c>
      <x:c r="E4" s="35" t="str">
        <x:v>Assumption</x:v>
      </x:c>
      <x:c r="F4" s="35" t="str">
        <x:v>First-order thermal-noise reference</x:v>
      </x:c>
      <x:c r="G4" s="35"/>
    </x:row>
    <x:row r="5">
      <x:c r="A5" s="35" t="str">
        <x:v>Thermal noise density</x:v>
      </x:c>
      <x:c r="B5" s="36" t="n">
        <x:v>-174</x:v>
      </x:c>
      <x:c r="C5" s="36" t="n">
        <x:v>-174</x:v>
      </x:c>
      <x:c r="D5" s="35" t="str">
        <x:v>dBm/Hz</x:v>
      </x:c>
      <x:c r="E5" s="35" t="str">
        <x:v>Reference</x:v>
      </x:c>
      <x:c r="F5" s="35" t="str">
        <x:v>290 K approximation</x:v>
      </x:c>
      <x:c r="G5" s="35"/>
    </x:row>
    <x:row r="6">
      <x:c r="A6" s="35" t="str">
        <x:v>Selected RF bandwidth</x:v>
      </x:c>
      <x:c r="B6" s="36" t="n">
        <x:v>46.834</x:v>
      </x:c>
      <x:c r="C6" s="36" t="n">
        <x:v>82.916</x:v>
      </x:c>
      <x:c r="D6" s="35" t="str">
        <x:v>MHz</x:v>
      </x:c>
      <x:c r="E6" s="35" t="str">
        <x:v>Calculated</x:v>
      </x:c>
      <x:c r="F6" s="35" t="str">
        <x:v>Required instantaneous RF span</x:v>
      </x:c>
      <x:c r="G6" s="35"/>
    </x:row>
    <x:row r="7">
      <x:c r="A7" s="35" t="str">
        <x:v>ADRV9026 P_HIGH</x:v>
      </x:c>
      <x:c r="B7" s="36" t="n">
        <x:v>-12.7</x:v>
      </x:c>
      <x:c r="C7" s="36" t="n">
        <x:v>-12.7</x:v>
      </x:c>
      <x:c r="D7" s="35" t="str">
        <x:v>dBm</x:v>
      </x:c>
      <x:c r="E7" s="35" t="str">
        <x:v>Reference</x:v>
      </x:c>
      <x:c r="F7" s="35" t="str">
        <x:v>ADRV9026 Rx P_HIGH at 1800 MHz; datasheet P_HIGH corresponds to approx. -2 dBFS at 0 dB channel attenuation (S5).</x:v>
      </x:c>
      <x:c r="G7" s="35"/>
    </x:row>
    <x:row r="8">
      <x:c r="A8" s="35" t="str">
        <x:v>P_HIGH digital level</x:v>
      </x:c>
      <x:c r="B8" s="36" t="n">
        <x:v>-2</x:v>
      </x:c>
      <x:c r="C8" s="36" t="n">
        <x:v>-2</x:v>
      </x:c>
      <x:c r="D8" s="35" t="str">
        <x:v>dBFS</x:v>
      </x:c>
      <x:c r="E8" s="35" t="str">
        <x:v>Reference</x:v>
      </x:c>
      <x:c r="F8" s="35" t="str">
        <x:v>Used only to infer equivalent 0 dBFS input reference</x:v>
      </x:c>
      <x:c r="G8" s="35"/>
    </x:row>
    <x:row r="9">
      <x:c r="A9" s="35" t="str">
        <x:v>Equivalent 0 dBFS input reference</x:v>
      </x:c>
      <x:c r="B9" s="37" t="n">
        <x:f>B7-B8</x:f>
        <x:v>-10.7</x:v>
      </x:c>
      <x:c r="C9" s="37" t="n">
        <x:f>C7-C8</x:f>
        <x:v>-10.7</x:v>
      </x:c>
      <x:c r="D9" s="35" t="str">
        <x:v>dBm</x:v>
      </x:c>
      <x:c r="E9" s="35" t="str">
        <x:v>Formula</x:v>
      </x:c>
      <x:c r="F9" s="35" t="str">
        <x:v>P_HIGH - (P_HIGH digital level)</x:v>
      </x:c>
      <x:c r="G9" s="35"/>
    </x:row>
    <x:row r="10">
      <x:c r="A10" s="35" t="str">
        <x:v>ADC resolution</x:v>
      </x:c>
      <x:c r="B10" s="36" t="n">
        <x:v>16</x:v>
      </x:c>
      <x:c r="C10" s="36" t="n">
        <x:v>16</x:v>
      </x:c>
      <x:c r="D10" s="35" t="str">
        <x:v>bit</x:v>
      </x:c>
      <x:c r="E10" s="35" t="str">
        <x:v>Reference</x:v>
      </x:c>
      <x:c r="F10" s="35" t="str">
        <x:v>ADRV9026 main Rx/ORx ADCs are 16-bit per Analog Devices EngineerZone/FAQ (S7); this resolution is not stated as a main-Rx ADC bit count in the datasheet.</x:v>
      </x:c>
      <x:c r="G10" s="35"/>
    </x:row>
    <x:row r="11">
      <x:c r="A11" s="35" t="str">
        <x:v>Rx SFDR</x:v>
      </x:c>
      <x:c r="B11" s="36" t="n">
        <x:v>81</x:v>
      </x:c>
      <x:c r="C11" s="36" t="n">
        <x:v>81</x:v>
      </x:c>
      <x:c r="D11" s="35" t="str">
        <x:v>dBc</x:v>
      </x:c>
      <x:c r="E11" s="35" t="str">
        <x:v>Reference</x:v>
      </x:c>
      <x:c r="F11" s="35" t="str">
        <x:v>ADRV9026 Rx SFDR = 81 dBc in the datasheet under the stated P_HIGH CW test condition (S5).</x:v>
      </x:c>
      <x:c r="G11" s="35"/>
    </x:row>
    <x:row r="12">
      <x:c r="A12" s="35" t="str">
        <x:v>ADL5521 gain used in cascade</x:v>
      </x:c>
      <x:c r="B12" s="82" t="n">
        <x:v>13</x:v>
      </x:c>
      <x:c r="C12" s="82" t="n">
        <x:v>15</x:v>
      </x:c>
      <x:c r="D12" s="35" t="str">
        <x:v>dB</x:v>
      </x:c>
      <x:c r="E12" s="35" t="str">
        <x:v>Conservative modelling assumption</x:v>
      </x:c>
      <x:c r="F12" s="35" t="str">
        <x:v>Not a direct datasheet point at GNSS frequencies; final matching/tuning should be verified with ADL5521 S-parameters.</x:v>
      </x:c>
      <x:c r="G12" s="35"/>
    </x:row>
    <x:row r="13">
      <x:c r="A13" s="35" t="str">
        <x:v>AFII-SW-0065 L5 insertion loss</x:v>
      </x:c>
      <x:c r="B13" s="82"/>
      <x:c r="C13" s="82" t="n">
        <x:v>1</x:v>
      </x:c>
      <x:c r="D13" s="35" t="str">
        <x:v>dB</x:v>
      </x:c>
      <x:c r="E13" s="35" t="str">
        <x:v>Reference</x:v>
      </x:c>
      <x:c r="F13" s="35" t="str">
        <x:v>Used for J2 at 1176.45 MHz; Abracon states 1.0 dB at L5 (S4).</x:v>
      </x:c>
      <x:c r="G13" s="35"/>
    </x:row>
    <x:row r="14">
      <x:c r="A14" s="35" t="str">
        <x:v>AFII-SW-0065 L2 insertion loss</x:v>
      </x:c>
      <x:c r="B14" s="83"/>
      <x:c r="C14" s="83" t="n">
        <x:v>1.2</x:v>
      </x:c>
      <x:c r="D14" s="35" t="str">
        <x:v>dB</x:v>
      </x:c>
      <x:c r="E14" s="35" t="str">
        <x:v>Reference</x:v>
      </x:c>
      <x:c r="F14" s="35" t="str">
        <x:v>Used as the conservative lower-path cascade NF value; Abracon states 1.2 dB at L2 (S4).</x:v>
      </x:c>
      <x:c r="G14" s="35"/>
    </x:row>
    <x:row r="15">
      <x:c r="A15" s="14" t="str">
        <x:v>Interference source</x:v>
      </x:c>
      <x:c r="B15" s="14" t="str">
        <x:v>Frequency</x:v>
      </x:c>
      <x:c r="C15" s="14" t="str">
        <x:v>Bandwidth</x:v>
      </x:c>
      <x:c r="D15" s="14" t="str">
        <x:v>EIRP</x:v>
      </x:c>
      <x:c r="E15" s="14" t="str">
        <x:v>Slant range</x:v>
      </x:c>
      <x:c r="F15" s="14" t="str">
        <x:v>Element gain</x:v>
      </x:c>
      <x:c r="G15" s="14" t="str">
        <x:v>Assignment note</x:v>
      </x:c>
    </x:row>
    <x:row r="16">
      <x:c r="A16" s="35" t="str">
        <x:v>J1 CW jammer</x:v>
      </x:c>
      <x:c r="B16" s="36" t="n">
        <x:v>1575.42</x:v>
      </x:c>
      <x:c r="C16" s="36" t="n">
        <x:v>0</x:v>
      </x:c>
      <x:c r="D16" s="36" t="n">
        <x:v>50</x:v>
      </x:c>
      <x:c r="E16" s="36" t="n">
        <x:v>5</x:v>
      </x:c>
      <x:c r="F16" s="36" t="n">
        <x:v>-15</x:v>
      </x:c>
      <x:c r="G16" s="35" t="str">
        <x:v>In-band L1</x:v>
      </x:c>
    </x:row>
    <x:row r="17">
      <x:c r="A17" s="35" t="str">
        <x:v>J2 noise jammer</x:v>
      </x:c>
      <x:c r="B17" s="36" t="n">
        <x:v>1176.45</x:v>
      </x:c>
      <x:c r="C17" s="36" t="n">
        <x:v>20</x:v>
      </x:c>
      <x:c r="D17" s="36" t="n">
        <x:v>50</x:v>
      </x:c>
      <x:c r="E17" s="36" t="n">
        <x:v>8</x:v>
      </x:c>
      <x:c r="F17" s="36" t="n">
        <x:v>-12</x:v>
      </x:c>
      <x:c r="G17" s="35" t="str">
        <x:v>In-band L5</x:v>
      </x:c>
    </x:row>
    <x:row r="18">
      <x:c r="A18" s="35" t="str">
        <x:v>J3 LTE base station</x:v>
      </x:c>
      <x:c r="B18" s="36" t="n">
        <x:v>1486</x:v>
      </x:c>
      <x:c r="C18" s="36" t="n">
        <x:v>20</x:v>
      </x:c>
      <x:c r="D18" s="36" t="n">
        <x:v>60</x:v>
      </x:c>
      <x:c r="E18" s="36" t="n">
        <x:v>4</x:v>
      </x:c>
      <x:c r="F18" s="36" t="n">
        <x:v>-18</x:v>
      </x:c>
      <x:c r="G18" s="35" t="str">
        <x:v>Out-of-band blocker</x:v>
      </x:c>
    </x:row>
    <x:row r="19">
      <x:c r="A19" s="35"/>
      <x:c r="B19" s="35"/>
      <x:c r="C19" s="35"/>
      <x:c r="D19" s="35"/>
      <x:c r="E19" s="35"/>
      <x:c r="F19" s="35"/>
      <x:c r="G19" s="35"/>
    </x:row>
    <x:row r="20">
      <x:c r="A20" s="14" t="str">
        <x:v>Source ID</x:v>
      </x:c>
      <x:c r="B20" s="14" t="str">
        <x:v>Document / page</x:v>
      </x:c>
      <x:c r="C20" s="14" t="str">
        <x:v>URL</x:v>
      </x:c>
      <x:c r="D20" s="14" t="str">
        <x:v>Used for</x:v>
      </x:c>
      <x:c r="E20" s="35"/>
      <x:c r="F20" s="35"/>
      <x:c r="G20" s="35"/>
    </x:row>
    <x:row r="21">
      <x:c r="A21" s="35" t="str">
        <x:v>S0</x:v>
      </x:c>
      <x:c r="B21" s="35" t="str">
        <x:v>ROKETSAN CRPA Hardware Architecture Interview Assignment</x:v>
      </x:c>
      <x:c r="C21" s="35" t="str">
        <x:v>Internal assignment PDF</x:v>
      </x:c>
      <x:c r="D21" s="35" t="str">
        <x:v>J1/J2/J3 scenario; system constraints</x:v>
      </x:c>
      <x:c r="E21" s="35"/>
      <x:c r="F21" s="35"/>
      <x:c r="G21" s="35"/>
    </x:row>
    <x:row r="22">
      <x:c r="A22" s="35" t="str">
        <x:v>S1</x:v>
      </x:c>
      <x:c r="B22" s="35" t="str">
        <x:v>Analog Devices — ADL5521 product page / Data Sheet Rev. C</x:v>
      </x:c>
      <x:c r="C22" s="35" t="str">
        <x:v>https://www.analog.com/en/products/adl5521.html</x:v>
      </x:c>
      <x:c r="D22" s="35" t="str">
        <x:v>LNA gain/NF/linearity reference</x:v>
      </x:c>
      <x:c r="E22" s="35"/>
      <x:c r="F22" s="35"/>
      <x:c r="G22" s="35"/>
    </x:row>
    <x:row r="23">
      <x:c r="A23" s="35" t="str">
        <x:v>S2</x:v>
      </x:c>
      <x:c r="B23" s="35" t="str">
        <x:v>Johanson Technology — 1224DP15A1572001E</x:v>
      </x:c>
      <x:c r="C23" s="35" t="str">
        <x:v>https://www.johansontechnology.com/products/integrated-passives/diplexers-and-triplexers/1224dp15a1572001e/</x:v>
      </x:c>
      <x:c r="D23" s="35" t="str">
        <x:v>GNSS diplexer bands and insertion loss</x:v>
      </x:c>
      <x:c r="E23" s="35"/>
      <x:c r="F23" s="35"/>
      <x:c r="G23" s="35"/>
    </x:row>
    <x:row r="24">
      <x:c r="A24" s="35" t="str">
        <x:v>S3</x:v>
      </x:c>
      <x:c r="B24" s="35" t="str">
        <x:v>Anatech — AM1600S1059 Data Sheet</x:v>
      </x:c>
      <x:c r="C24" s="35" t="str">
        <x:v>https://anatechelectronics.com/media/pdf/AM1600S1059.pdf</x:v>
      </x:c>
      <x:c r="D24" s="35" t="str">
        <x:v>L1 preselector insertion loss and rejection</x:v>
      </x:c>
      <x:c r="E24" s="35"/>
      <x:c r="F24" s="35"/>
      <x:c r="G24" s="35"/>
    </x:row>
    <x:row r="25">
      <x:c r="A25" s="35" t="str">
        <x:v>S4</x:v>
      </x:c>
      <x:c r="B25" s="35" t="str">
        <x:v>Abracon — AFII-SW-0065 product information</x:v>
      </x:c>
      <x:c r="C25" s="35" t="str">
        <x:v>https://abracon.com/product-lineup/rf-antennas/rf-filters/saw-filters/multi-band-gnss-smd-saw-filter-for-high-precision-positioning</x:v>
      </x:c>
      <x:c r="D25" s="35" t="str">
        <x:v>L2/L5 coverage, insertion loss, OOB rejection</x:v>
      </x:c>
      <x:c r="E25" s="35"/>
      <x:c r="F25" s="35"/>
      <x:c r="G25" s="35"/>
    </x:row>
    <x:row r="26">
      <x:c r="A26" s="35" t="str">
        <x:v>S5</x:v>
      </x:c>
      <x:c r="B26" s="35" t="str">
        <x:v>Analog Devices — ADRV9026 Data Sheet Rev. C</x:v>
      </x:c>
      <x:c r="C26" s="35" t="str">
        <x:v>https://www.analog.com/media/radioverse-adrv9026/adrv9026.pdf?isDownload=true</x:v>
      </x:c>
      <x:c r="D26" s="35" t="str">
        <x:v>RFIC NF reference, SFDR, linearity, JESD204B/C</x:v>
      </x:c>
      <x:c r="E26" s="35"/>
      <x:c r="F26" s="35"/>
      <x:c r="G26" s="35"/>
    </x:row>
    <x:row r="27">
      <x:c r="A27" s="35" t="str">
        <x:v>S6</x:v>
      </x:c>
      <x:c r="B27" s="35" t="str">
        <x:v>Analog Devices — ADRV9026/9029 System Development User Guide</x:v>
      </x:c>
      <x:c r="C27" s="35" t="str">
        <x:v>https://www.analog.com/media/radioverse-adrv9026/adrv9022-adrv9026-adrv9029-system-development-user-guide-ug-1727.pdf</x:v>
      </x:c>
      <x:c r="D27" s="35" t="str">
        <x:v>P_HIGH / -2 dBFS interpretation and synchronization context</x:v>
      </x:c>
      <x:c r="E27" s="35"/>
      <x:c r="F27" s="35"/>
      <x:c r="G27" s="35"/>
    </x:row>
    <x:row r="28">
      <x:c r="A28" s="35" t="str">
        <x:v>S7</x:v>
      </x:c>
      <x:c r="B28" s="35" t="str">
        <x:v>Analog Devices EngineerZone — ADRV9026 ADC and DAC resolution</x:v>
      </x:c>
      <x:c r="C28" s="35" t="str">
        <x:v>https://ez.analog.com/rf/wide-band-rf-transceivers/design-support-adrv9026/f/q-a/119933/adrv9026-adc-and-dac-resolution</x:v>
      </x:c>
      <x:c r="D28" s="35" t="str">
        <x:v>Main Rx/ORx ADC resolution = 16 bits</x:v>
      </x:c>
      <x:c r="E28" s="35"/>
      <x:c r="F28" s="35"/>
      <x:c r="G28" s="35"/>
    </x:row>
    <x:row r="29">
      <x:c r="A29" s="38" t="str">
        <x:v>S8</x:v>
      </x:c>
      <x:c r="B29" s="38" t="str">
        <x:v>U.S. Space Force — IS-GPS-200N</x:v>
      </x:c>
      <x:c r="C29" s="38" t="str">
        <x:v>https://www.gps.gov/sites/default/files/2025-07/IS-GPS-200N.pdf</x:v>
      </x:c>
      <x:c r="D29" s="38" t="str">
        <x:v>GPS L1/L2 open-signal reference levels and signal definitions</x:v>
      </x:c>
      <x:c r="E29" s="38"/>
      <x:c r="F29" s="38"/>
      <x:c r="G29" s="35"/>
    </x:row>
    <x:row r="30">
      <x:c r="A30" s="35" t="str">
        <x:v>S9</x:v>
      </x:c>
      <x:c r="B30" s="35" t="str">
        <x:v>U.S. Space Force — IS-GPS-705J</x:v>
      </x:c>
      <x:c r="C30" s="35" t="str">
        <x:v>https://www.gps.gov/sites/default/files/2025-07/IS-GPS-705J.pdf</x:v>
      </x:c>
      <x:c r="D30" s="35" t="str">
        <x:v>GPS L5 open-signal reference level and signal definition</x:v>
      </x:c>
      <x:c r="E30" s="35"/>
      <x:c r="F30" s="35"/>
      <x:c r="G30" s="35"/>
    </x:row>
    <x:row r="31">
      <x:c r="A31" s="35"/>
      <x:c r="B31" s="35"/>
      <x:c r="C31" s="35"/>
      <x:c r="D31" s="35"/>
      <x:c r="E31" s="35"/>
      <x:c r="F31" s="35"/>
      <x:c r="G31" s="35"/>
    </x:row>
    <x:row r="32">
      <x:c r="A32" s="35" t="str">
        <x:v>Important modelling notes</x:v>
      </x:c>
      <x:c r="B32" s="35"/>
      <x:c r="C32" s="35"/>
      <x:c r="D32" s="35"/>
      <x:c r="E32" s="35"/>
      <x:c r="F32" s="35"/>
      <x:c r="G32" s="35"/>
    </x:row>
    <x:row r="33">
      <x:c r="A33" s="35" t="str">
        <x:v>1</x:v>
      </x:c>
      <x:c r="B33" s="35" t="str">
        <x:v>Cable and PCB losses are neglected in the first-order cascade calculation unless explicitly included.</x:v>
      </x:c>
      <x:c r="C33" s="35"/>
      <x:c r="D33" s="35"/>
      <x:c r="E33" s="35"/>
      <x:c r="F33" s="35"/>
      <x:c r="G33" s="35"/>
    </x:row>
    <x:row r="34">
      <x:c r="A34" s="35" t="str">
        <x:v>2</x:v>
      </x:c>
      <x:c r="B34" s="35" t="str">
        <x:v>For passive stages, noise figure is set equal to insertion loss.</x:v>
      </x:c>
      <x:c r="C34" s="35"/>
      <x:c r="D34" s="35"/>
      <x:c r="E34" s="35"/>
      <x:c r="F34" s="35"/>
      <x:c r="G34" s="35"/>
    </x:row>
    <x:row r="35">
      <x:c r="A35" t="str">
        <x:v>3</x:v>
      </x:c>
      <x:c r="B35" t="str">
        <x:v>ADRV9026 11.5 dB NF and P_HIGH = -12.7 dBm are 1800 MHz receiver reference values from the datasheet; using them at GNSS frequencies is a conservative preliminary approximation.</x:v>
      </x:c>
      <x:c r="C35"/>
      <x:c r="D35"/>
      <x:c r="E35"/>
      <x:c r="F35"/>
      <x:c r="G35"/>
    </x:row>
    <x:row r="36">
      <x:c r="A36" t="str">
        <x:v>4</x:v>
      </x:c>
      <x:c r="B36" t="str">
        <x:v>AFII-SW-0065 uses 1.2 dB insertion loss for the worst-case L2 cascade NF, but J2 at 1176.45 MHz uses the specified 1.0 dB L5 insertion loss.</x:v>
      </x:c>
      <x:c r="C36"/>
      <x:c r="D36"/>
      <x:c r="E36"/>
      <x:c r="F36"/>
      <x:c r="G36"/>
    </x:row>
    <x:row r="37">
      <x:c r="A37" t="str">
        <x:v>5</x:v>
      </x:c>
      <x:c r="B37" t="str">
        <x:v>ADL5521 gains of 13 dB (L1) and 15 dB (lower band) are explicit conservative design assumptions, not direct tabulated datasheet values at 1.2–1.6 GHz. Final values require the selected matching network / S-parameter verification.</x:v>
      </x:c>
      <x:c r="C37"/>
      <x:c r="D37"/>
      <x:c r="E37"/>
      <x:c r="F37"/>
      <x:c r="G37"/>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24" hidden="0" customWidth="1"/>
    <x:col min="3" max="3" width="12" hidden="0" customWidth="1"/>
    <x:col min="4" max="4" width="14" hidden="0" customWidth="1"/>
    <x:col min="5" max="5" width="12" hidden="0" customWidth="1"/>
    <x:col min="6" max="6" width="14" hidden="0" customWidth="1"/>
    <x:col min="7" max="7" width="18" hidden="0" customWidth="1"/>
    <x:col min="8" max="8" width="18" hidden="0" customWidth="1"/>
    <x:col min="9" max="9" width="30" hidden="0" customWidth="1"/>
    <x:col min="10" max="10" width="32" hidden="0" customWidth="1"/>
    <x:col min="11" max="11" width="36" hidden="0" customWidth="1"/>
  </x:cols>
  <x:sheetData>
    <x:row r="1">
      <x:c r="A1" s="34" t="str">
        <x:v>L1 Cascade Noise-Figure Analysis</x:v>
      </x:c>
      <x:c r="B1" s="34"/>
      <x:c r="C1" s="34"/>
      <x:c r="D1" s="34"/>
      <x:c r="E1" s="34"/>
      <x:c r="F1" s="34"/>
      <x:c r="G1" s="34"/>
      <x:c r="H1" s="34"/>
      <x:c r="I1" s="34"/>
    </x:row>
    <x:row r="2">
      <x:c r="A2" s="35"/>
      <x:c r="B2" s="35"/>
      <x:c r="C2" s="35"/>
      <x:c r="D2" s="35"/>
      <x:c r="E2" s="35"/>
      <x:c r="F2" s="35"/>
      <x:c r="G2" s="35"/>
      <x:c r="H2" s="35"/>
      <x:c r="I2" s="35"/>
    </x:row>
    <x:row r="3">
      <x:c r="A3" s="54" t="str">
        <x:v>Stage</x:v>
      </x:c>
      <x:c r="B3" s="55" t="str">
        <x:v>Part number</x:v>
      </x:c>
      <x:c r="C3" s="55" t="str">
        <x:v>Gain (dB)</x:v>
      </x:c>
      <x:c r="D3" s="55" t="str">
        <x:v>Gain (linear)</x:v>
      </x:c>
      <x:c r="E3" s="55" t="str">
        <x:v>NF (dB)</x:v>
      </x:c>
      <x:c r="F3" s="55" t="str">
        <x:v>Noise factor</x:v>
      </x:c>
      <x:c r="G3" s="55" t="str">
        <x:v>Cumulative gain (dB)</x:v>
      </x:c>
      <x:c r="H3" s="55" t="str">
        <x:v>Friis contribution</x:v>
      </x:c>
      <x:c r="I3" s="75" t="str">
        <x:v>P1dB / P_HIGH reference</x:v>
      </x:c>
      <x:c r="J3" s="80" t="str">
        <x:v>IIP3 reference</x:v>
      </x:c>
      <x:c r="K3" s="80" t="str">
        <x:v>Source / basis</x:v>
      </x:c>
    </x:row>
    <x:row r="4">
      <x:c r="A4" s="57" t="str">
        <x:v>LNA</x:v>
      </x:c>
      <x:c r="B4" s="35" t="str">
        <x:v>ADL5521ACPZ-R7</x:v>
      </x:c>
      <x:c r="C4" s="50" t="n">
        <x:v>13</x:v>
      </x:c>
      <x:c r="D4" s="51" t="n">
        <x:f>10^(C4/10)</x:f>
        <x:v>19.952623149688797</x:v>
      </x:c>
      <x:c r="E4" s="51" t="n">
        <x:v>1</x:v>
      </x:c>
      <x:c r="F4" s="51" t="n">
        <x:f>10^(E4/10)</x:f>
        <x:v>1.2589254117941673</x:v>
      </x:c>
      <x:c r="G4" s="51" t="n">
        <x:f>SUM($C$4:C4)</x:f>
        <x:v>13</x:v>
      </x:c>
      <x:c r="H4" s="51" t="n">
        <x:f>F4</x:f>
        <x:v>1.2589254117941673</x:v>
      </x:c>
      <x:c r="I4" s="58" t="str">
        <x:v>OP1dB ≈ +21.8 dBm @ 1950 MHz</x:v>
      </x:c>
      <x:c r="J4" s="35" t="str">
        <x:v>≈ +19.2 dBm @ 1950 MHz (OIP3 − gain, derived)</x:v>
      </x:c>
      <x:c r="K4" s="35" t="str">
        <x:v>S1; gain used in cascade is a conservative design assumption</x:v>
      </x:c>
    </x:row>
    <x:row r="5">
      <x:c r="A5" s="57" t="str">
        <x:v>GNSS diplexer</x:v>
      </x:c>
      <x:c r="B5" s="35" t="str">
        <x:v>1224DP15A1572001E</x:v>
      </x:c>
      <x:c r="C5" s="50" t="n">
        <x:v>-1</x:v>
      </x:c>
      <x:c r="D5" s="51" t="n">
        <x:f>10^(C5/10)</x:f>
        <x:v>0.7943282347242815</x:v>
      </x:c>
      <x:c r="E5" s="51" t="n">
        <x:v>1</x:v>
      </x:c>
      <x:c r="F5" s="51" t="n">
        <x:f>10^(E5/10)</x:f>
        <x:v>1.2589254117941673</x:v>
      </x:c>
      <x:c r="G5" s="51" t="n">
        <x:f>SUM($C$4:C5)</x:f>
        <x:v>12</x:v>
      </x:c>
      <x:c r="H5" s="51" t="n">
        <x:f>(F5-1)/D4</x:f>
        <x:v>0.0129770110852921</x:v>
      </x:c>
      <x:c r="I5" s="58" t="str">
        <x:v>Not specified</x:v>
      </x:c>
      <x:c r="J5" s="35" t="str">
        <x:v>Not specified</x:v>
      </x:c>
      <x:c r="K5" s="35" t="str">
        <x:v>S2; passive insertion-loss stage</x:v>
      </x:c>
    </x:row>
    <x:row r="6">
      <x:c r="A6" s="57" t="str">
        <x:v>L1 preselector</x:v>
      </x:c>
      <x:c r="B6" s="35" t="str">
        <x:v>AM1600S1059</x:v>
      </x:c>
      <x:c r="C6" s="50" t="n">
        <x:v>-4</x:v>
      </x:c>
      <x:c r="D6" s="51" t="n">
        <x:f>10^(C6/10)</x:f>
        <x:v>0.3981071705534972</x:v>
      </x:c>
      <x:c r="E6" s="51" t="n">
        <x:v>4</x:v>
      </x:c>
      <x:c r="F6" s="51" t="n">
        <x:f>10^(E6/10)</x:f>
        <x:v>2.51188643150958</x:v>
      </x:c>
      <x:c r="G6" s="51" t="n">
        <x:f>SUM($C$4:C6)</x:f>
        <x:v>8</x:v>
      </x:c>
      <x:c r="H6" s="51" t="n">
        <x:f>(F6-1)/(D4*D5)</x:f>
        <x:v>0.09539358479809201</x:v>
      </x:c>
      <x:c r="I6" s="58" t="str">
        <x:v>Not specified</x:v>
      </x:c>
      <x:c r="J6" s="35" t="str">
        <x:v>Not specified</x:v>
      </x:c>
      <x:c r="K6" s="35" t="str">
        <x:v>S3</x:v>
      </x:c>
    </x:row>
    <x:row r="7">
      <x:c r="A7" s="59" t="str">
        <x:v>RFIC / ADC</x:v>
      </x:c>
      <x:c r="B7" s="60" t="str">
        <x:v>ADRV9026</x:v>
      </x:c>
      <x:c r="C7" s="61" t="n">
        <x:v>0</x:v>
      </x:c>
      <x:c r="D7" s="62" t="n">
        <x:f>10^(C7/10)</x:f>
        <x:v>1</x:v>
      </x:c>
      <x:c r="E7" s="62" t="n">
        <x:v>11.5</x:v>
      </x:c>
      <x:c r="F7" s="62" t="n">
        <x:f>10^(E7/10)</x:f>
        <x:v>14.12537544622754</x:v>
      </x:c>
      <x:c r="G7" s="62" t="n">
        <x:f>SUM($C$4:C7)</x:f>
        <x:v>8</x:v>
      </x:c>
      <x:c r="H7" s="62" t="n">
        <x:f>(F7-1)/(D4*D5*D6)</x:f>
        <x:v>2.080231819322228</x:v>
      </x:c>
      <x:c r="I7" s="63" t="str">
        <x:v>P_HIGH = −12.7 dBm @ 1800 MHz (≈ −2 dBFS)</x:v>
      </x:c>
      <x:c r="J7" s="35" t="str">
        <x:v>≥ +15 dBm reference over 800–1800 MHz</x:v>
      </x:c>
      <x:c r="K7" s="35" t="str">
        <x:v>S5; RFIC gain set to 0 dB only as an input-reference convention for this Friis calculation; actual Rx gain/attenuation is variable.</x:v>
      </x:c>
    </x:row>
    <x:row r="8">
      <x:c r="A8" s="35"/>
      <x:c r="B8" s="35"/>
      <x:c r="C8" s="35"/>
      <x:c r="D8" s="35"/>
      <x:c r="E8" s="35"/>
      <x:c r="F8" s="35"/>
      <x:c r="G8" s="35"/>
      <x:c r="H8" s="35"/>
      <x:c r="I8" s="35"/>
    </x:row>
    <x:row r="9">
      <x:c r="A9" s="14" t="str">
        <x:v>Result</x:v>
      </x:c>
      <x:c r="B9" s="14" t="str">
        <x:v>Value</x:v>
      </x:c>
      <x:c r="C9" s="35"/>
      <x:c r="D9" s="35"/>
      <x:c r="E9" s="35"/>
      <x:c r="F9" s="35"/>
      <x:c r="G9" s="35"/>
      <x:c r="H9" s="35"/>
      <x:c r="I9" s="35"/>
    </x:row>
    <x:row r="10">
      <x:c r="A10" s="35" t="str">
        <x:v>Total cascaded NF (dB)</x:v>
      </x:c>
      <x:c r="B10" s="37" t="n">
        <x:f>10*LOG10(SUM(H4:H7))</x:f>
        <x:v>5.37507780305082</x:v>
      </x:c>
      <x:c r="C10" s="35"/>
      <x:c r="D10" s="35"/>
      <x:c r="E10" s="35"/>
      <x:c r="F10" s="35"/>
      <x:c r="G10" s="35"/>
      <x:c r="H10" s="35"/>
      <x:c r="I10" s="35"/>
    </x:row>
    <x:row r="11">
      <x:c r="A11" s="35" t="str">
        <x:v>Pre-RFIC NF, first 3 stages (dB)</x:v>
      </x:c>
      <x:c r="B11" s="37" t="n">
        <x:f>10*LOG10(SUM(H4:H6))</x:f>
        <x:v>1.35862545719609</x:v>
      </x:c>
      <x:c r="C11" s="35"/>
      <x:c r="D11" s="35"/>
      <x:c r="E11" s="35"/>
      <x:c r="F11" s="35"/>
      <x:c r="G11" s="35"/>
      <x:c r="H11" s="35"/>
      <x:c r="I11" s="35"/>
    </x:row>
    <x:row r="12">
      <x:c r="A12" s="35" t="str">
        <x:v>Pre-RFIC gain, first 3 stages (dB)</x:v>
      </x:c>
      <x:c r="B12" s="37" t="n">
        <x:f>SUM(C4:C6)</x:f>
        <x:v>8</x:v>
      </x:c>
      <x:c r="C12" s="35"/>
      <x:c r="D12" s="35"/>
      <x:c r="E12" s="35"/>
      <x:c r="F12" s="35"/>
      <x:c r="G12" s="35"/>
      <x:c r="H12" s="35"/>
      <x:c r="I12" s="35"/>
    </x:row>
    <x:row r="13">
      <x:c r="A13" s="35"/>
      <x:c r="B13" s="35"/>
      <x:c r="C13" s="35"/>
      <x:c r="D13" s="35"/>
      <x:c r="E13" s="35"/>
      <x:c r="F13" s="35"/>
      <x:c r="G13" s="35"/>
      <x:c r="H13" s="35"/>
      <x:c r="I13" s="35"/>
    </x:row>
    <x:row r="14">
      <x:c r="A14" s="38" t="str">
        <x:v>Formula note</x:v>
      </x:c>
      <x:c r="B14" s="38" t="str"/>
      <x:c r="C14" s="38" t="str"/>
      <x:c r="D14" s="38" t="str"/>
      <x:c r="E14" s="38" t="str"/>
      <x:c r="F14" s="38" t="str"/>
      <x:c r="G14" s="38" t="str"/>
      <x:c r="H14" s="38" t="str"/>
      <x:c r="I14" s="38" t="str"/>
    </x:row>
    <x:row r="15">
      <x:c r="A15" s="35" t="str">
        <x:v>Friis: F_total = F1 + (F2-1)/G1 + (F3-1)/(G1·G2) + (F4-1)/(G1·G2·G3). F and G are linear noise factors and power gains. Passive-stage NF is equal to insertion loss.</x:v>
      </x:c>
      <x:c r="B15" s="35"/>
      <x:c r="C15" s="35"/>
      <x:c r="D15" s="35"/>
      <x:c r="E15" s="35"/>
      <x:c r="F15" s="35"/>
      <x:c r="G15" s="35"/>
      <x:c r="H15" s="35"/>
      <x:c r="I15" s="35"/>
    </x:row>
    <x:row r="16">
      <x:c r="A16" s="35"/>
      <x:c r="B16" s="35"/>
      <x:c r="C16" s="35"/>
      <x:c r="D16" s="35"/>
      <x:c r="E16" s="35"/>
      <x:c r="F16" s="35"/>
      <x:c r="G16" s="35"/>
      <x:c r="H16" s="35"/>
      <x:c r="I16" s="35"/>
    </x:row>
  </x:sheetData>
  <x:mergeCells>
    <x:mergeCell ref="A15:I16"/>
    <x:mergeCell ref="A1:K1"/>
  </x:mergeCell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24" hidden="0" customWidth="1"/>
    <x:col min="3" max="3" width="12" hidden="0" customWidth="1"/>
    <x:col min="4" max="4" width="14" hidden="0" customWidth="1"/>
    <x:col min="5" max="5" width="12" hidden="0" customWidth="1"/>
    <x:col min="6" max="6" width="14" hidden="0" customWidth="1"/>
    <x:col min="7" max="7" width="18" hidden="0" customWidth="1"/>
    <x:col min="8" max="8" width="18" hidden="0" customWidth="1"/>
    <x:col min="9" max="9" width="30" hidden="0" customWidth="1"/>
    <x:col min="10" max="10" width="32" hidden="0" customWidth="1"/>
    <x:col min="11" max="11" width="36" hidden="0" customWidth="1"/>
  </x:cols>
  <x:sheetData>
    <x:row r="1">
      <x:c r="A1" s="34" t="str">
        <x:v>L2 + L5 Cascade Noise-Figure Analysis</x:v>
      </x:c>
      <x:c r="B1" s="34"/>
      <x:c r="C1" s="34"/>
      <x:c r="D1" s="34"/>
      <x:c r="E1" s="34"/>
      <x:c r="F1" s="34"/>
      <x:c r="G1" s="34"/>
      <x:c r="H1" s="34"/>
      <x:c r="I1" s="34"/>
    </x:row>
    <x:row r="2">
      <x:c r="A2" s="35"/>
      <x:c r="B2" s="35"/>
      <x:c r="C2" s="35"/>
      <x:c r="D2" s="35"/>
      <x:c r="E2" s="35"/>
      <x:c r="F2" s="35"/>
      <x:c r="G2" s="35"/>
      <x:c r="H2" s="35"/>
      <x:c r="I2" s="35"/>
    </x:row>
    <x:row r="3">
      <x:c r="A3" s="54" t="str">
        <x:v>Stage</x:v>
      </x:c>
      <x:c r="B3" s="55" t="str">
        <x:v>Part number</x:v>
      </x:c>
      <x:c r="C3" s="55" t="str">
        <x:v>Gain (dB)</x:v>
      </x:c>
      <x:c r="D3" s="55" t="str">
        <x:v>Gain (linear)</x:v>
      </x:c>
      <x:c r="E3" s="55" t="str">
        <x:v>NF (dB)</x:v>
      </x:c>
      <x:c r="F3" s="55" t="str">
        <x:v>Noise factor</x:v>
      </x:c>
      <x:c r="G3" s="55" t="str">
        <x:v>Cumulative gain (dB)</x:v>
      </x:c>
      <x:c r="H3" s="55" t="str">
        <x:v>Friis contribution</x:v>
      </x:c>
      <x:c r="I3" s="75" t="str">
        <x:v>P1dB / P_HIGH reference</x:v>
      </x:c>
      <x:c r="J3" s="80" t="str">
        <x:v>IIP3 reference</x:v>
      </x:c>
      <x:c r="K3" s="80" t="str">
        <x:v>Source / basis</x:v>
      </x:c>
    </x:row>
    <x:row r="4">
      <x:c r="A4" s="57" t="str">
        <x:v>LNA</x:v>
      </x:c>
      <x:c r="B4" s="35" t="str">
        <x:v>ADL5521ACPZ-R7</x:v>
      </x:c>
      <x:c r="C4" s="50" t="n">
        <x:v>15</x:v>
      </x:c>
      <x:c r="D4" s="51" t="n">
        <x:f>10^(C4/10)</x:f>
        <x:v>31.622776601683793</x:v>
      </x:c>
      <x:c r="E4" s="51" t="n">
        <x:v>1</x:v>
      </x:c>
      <x:c r="F4" s="51" t="n">
        <x:f>10^(E4/10)</x:f>
        <x:v>1.2589254117941673</x:v>
      </x:c>
      <x:c r="G4" s="51" t="n">
        <x:f>SUM($C$4:C4)</x:f>
        <x:v>15</x:v>
      </x:c>
      <x:c r="H4" s="51" t="n">
        <x:f>F4</x:f>
        <x:v>1.2589254117941673</x:v>
      </x:c>
      <x:c r="I4" s="58" t="str">
        <x:v>OP1dB ≈ +21.8 dBm @ 1950 MHz</x:v>
      </x:c>
      <x:c r="J4" s="35" t="str">
        <x:v>≈ +19.2 dBm @ 1950 MHz (OIP3 − gain, derived)</x:v>
      </x:c>
      <x:c r="K4" s="35" t="str">
        <x:v>S1; gain used in cascade is a conservative design assumption</x:v>
      </x:c>
    </x:row>
    <x:row r="5">
      <x:c r="A5" s="57" t="str">
        <x:v>GNSS diplexer</x:v>
      </x:c>
      <x:c r="B5" s="35" t="str">
        <x:v>1224DP15A1572001E</x:v>
      </x:c>
      <x:c r="C5" s="50" t="n">
        <x:v>-1</x:v>
      </x:c>
      <x:c r="D5" s="51" t="n">
        <x:f>10^(C5/10)</x:f>
        <x:v>0.7943282347242815</x:v>
      </x:c>
      <x:c r="E5" s="51" t="n">
        <x:v>1</x:v>
      </x:c>
      <x:c r="F5" s="51" t="n">
        <x:f>10^(E5/10)</x:f>
        <x:v>1.2589254117941673</x:v>
      </x:c>
      <x:c r="G5" s="51" t="n">
        <x:f>SUM($C$4:C5)</x:f>
        <x:v>14</x:v>
      </x:c>
      <x:c r="H5" s="51" t="n">
        <x:f>(F5-1)/D4</x:f>
        <x:v>0.008187940453665934</x:v>
      </x:c>
      <x:c r="I5" s="58" t="str">
        <x:v>Not specified</x:v>
      </x:c>
      <x:c r="J5" s="35" t="str">
        <x:v>Not specified</x:v>
      </x:c>
      <x:c r="K5" s="35" t="str">
        <x:v>S2; passive insertion-loss stage</x:v>
      </x:c>
    </x:row>
    <x:row r="6">
      <x:c r="A6" s="57" t="str">
        <x:v>L2/L5 preselector</x:v>
      </x:c>
      <x:c r="B6" s="35" t="str">
        <x:v>AFII-SW-0065</x:v>
      </x:c>
      <x:c r="C6" s="50" t="n">
        <x:v>-1.2</x:v>
      </x:c>
      <x:c r="D6" s="51" t="n">
        <x:f>10^(C6/10)</x:f>
        <x:v>0.7585775750291838</x:v>
      </x:c>
      <x:c r="E6" s="51" t="n">
        <x:v>1.2</x:v>
      </x:c>
      <x:c r="F6" s="51" t="n">
        <x:f>10^(E6/10)</x:f>
        <x:v>1.318256738556407</x:v>
      </x:c>
      <x:c r="G6" s="51" t="n">
        <x:f>SUM($C$4:C6)</x:f>
        <x:v>12.8</x:v>
      </x:c>
      <x:c r="H6" s="51" t="n">
        <x:f>(F6-1)/(D4*D5)</x:f>
        <x:v>0.012670028969627533</x:v>
      </x:c>
      <x:c r="I6" s="58" t="str">
        <x:v>Not specified</x:v>
      </x:c>
      <x:c r="J6" s="35" t="str">
        <x:v>Not specified</x:v>
      </x:c>
      <x:c r="K6" s="35" t="str">
        <x:v>S4; 1.2 dB L2 value used for worst-case cascade NF</x:v>
      </x:c>
    </x:row>
    <x:row r="7">
      <x:c r="A7" s="59" t="str">
        <x:v>RFIC / ADC</x:v>
      </x:c>
      <x:c r="B7" s="60" t="str">
        <x:v>ADRV9026</x:v>
      </x:c>
      <x:c r="C7" s="61" t="n">
        <x:v>0</x:v>
      </x:c>
      <x:c r="D7" s="62" t="n">
        <x:f>10^(C7/10)</x:f>
        <x:v>1</x:v>
      </x:c>
      <x:c r="E7" s="62" t="n">
        <x:v>11.5</x:v>
      </x:c>
      <x:c r="F7" s="62" t="n">
        <x:f>10^(E7/10)</x:f>
        <x:v>14.12537544622754</x:v>
      </x:c>
      <x:c r="G7" s="62" t="n">
        <x:f>SUM($C$4:C7)</x:f>
        <x:v>12.8</x:v>
      </x:c>
      <x:c r="H7" s="62" t="n">
        <x:f>(F7-1)/(D4*D5*D6)</x:f>
        <x:v>0.6888294952759402</x:v>
      </x:c>
      <x:c r="I7" s="63" t="str">
        <x:v>P_HIGH = −12.7 dBm @ 1800 MHz (≈ −2 dBFS)</x:v>
      </x:c>
      <x:c r="J7" s="35" t="str">
        <x:v>≥ +15 dBm reference over 800–1800 MHz</x:v>
      </x:c>
      <x:c r="K7" s="35" t="str">
        <x:v>S5; RFIC gain set to 0 dB only as an input-reference convention for this Friis calculation; actual Rx gain/attenuation is variable.</x:v>
      </x:c>
    </x:row>
    <x:row r="8">
      <x:c r="A8" s="35"/>
      <x:c r="B8" s="35"/>
      <x:c r="C8" s="35"/>
      <x:c r="D8" s="35"/>
      <x:c r="E8" s="35"/>
      <x:c r="F8" s="35"/>
      <x:c r="G8" s="35"/>
      <x:c r="H8" s="35"/>
      <x:c r="I8" s="35"/>
    </x:row>
    <x:row r="9">
      <x:c r="A9" s="14" t="str">
        <x:v>Result</x:v>
      </x:c>
      <x:c r="B9" s="14" t="str">
        <x:v>Value</x:v>
      </x:c>
      <x:c r="C9" s="35"/>
      <x:c r="D9" s="35"/>
      <x:c r="E9" s="35"/>
      <x:c r="F9" s="35"/>
      <x:c r="G9" s="35"/>
      <x:c r="H9" s="35"/>
      <x:c r="I9" s="35"/>
    </x:row>
    <x:row r="10">
      <x:c r="A10" s="35" t="str">
        <x:v>Total cascaded NF (dB)</x:v>
      </x:c>
      <x:c r="B10" s="37" t="n">
        <x:f>10*LOG10(SUM(H4:H7))</x:f>
        <x:v>2.9416032145431</x:v>
      </x:c>
      <x:c r="C10" s="35"/>
      <x:c r="D10" s="35"/>
      <x:c r="E10" s="35"/>
      <x:c r="F10" s="35"/>
      <x:c r="G10" s="35"/>
      <x:c r="H10" s="35"/>
      <x:c r="I10" s="35"/>
    </x:row>
    <x:row r="11">
      <x:c r="A11" s="35" t="str">
        <x:v>Pre-RFIC NF, first 3 stages (dB)</x:v>
      </x:c>
      <x:c r="B11" s="37" t="n">
        <x:f>10*LOG10(SUM(H4:H6))</x:f>
        <x:v>1.07136466285945</x:v>
      </x:c>
      <x:c r="C11" s="35"/>
      <x:c r="D11" s="35"/>
      <x:c r="E11" s="35"/>
      <x:c r="F11" s="35"/>
      <x:c r="G11" s="35"/>
      <x:c r="H11" s="35"/>
      <x:c r="I11" s="35"/>
    </x:row>
    <x:row r="12">
      <x:c r="A12" s="35" t="str">
        <x:v>Pre-RFIC gain, first 3 stages (dB)</x:v>
      </x:c>
      <x:c r="B12" s="37" t="n">
        <x:f>SUM(C4:C6)</x:f>
        <x:v>12.8</x:v>
      </x:c>
      <x:c r="C12" s="35"/>
      <x:c r="D12" s="35"/>
      <x:c r="E12" s="35"/>
      <x:c r="F12" s="35"/>
      <x:c r="G12" s="35"/>
      <x:c r="H12" s="35"/>
      <x:c r="I12" s="35"/>
    </x:row>
    <x:row r="13">
      <x:c r="A13" s="35"/>
      <x:c r="B13" s="35"/>
      <x:c r="C13" s="35"/>
      <x:c r="D13" s="35"/>
      <x:c r="E13" s="35"/>
      <x:c r="F13" s="35"/>
      <x:c r="G13" s="35"/>
      <x:c r="H13" s="35"/>
      <x:c r="I13" s="35"/>
    </x:row>
    <x:row r="14">
      <x:c r="A14" s="38" t="str">
        <x:v>Formula note</x:v>
      </x:c>
      <x:c r="B14" s="38" t="str"/>
      <x:c r="C14" s="38" t="str"/>
      <x:c r="D14" s="38" t="str"/>
      <x:c r="E14" s="38" t="str"/>
      <x:c r="F14" s="38" t="str"/>
      <x:c r="G14" s="38" t="str"/>
      <x:c r="H14" s="38" t="str"/>
      <x:c r="I14" s="38" t="str"/>
    </x:row>
    <x:row r="15">
      <x:c r="A15" s="35" t="str">
        <x:v>Friis: F_total = F1 + (F2-1)/G1 + (F3-1)/(G1·G2) + (F4-1)/(G1·G2·G3). F and G are linear noise factors and power gains. Passive-stage NF is equal to insertion loss.</x:v>
      </x:c>
      <x:c r="B15" s="35"/>
      <x:c r="C15" s="35"/>
      <x:c r="D15" s="35"/>
      <x:c r="E15" s="35"/>
      <x:c r="F15" s="35"/>
      <x:c r="G15" s="35"/>
      <x:c r="H15" s="35"/>
      <x:c r="I15" s="35"/>
    </x:row>
    <x:row r="16">
      <x:c r="A16" s="35"/>
      <x:c r="B16" s="35"/>
      <x:c r="C16" s="35"/>
      <x:c r="D16" s="35"/>
      <x:c r="E16" s="35"/>
      <x:c r="F16" s="35"/>
      <x:c r="G16" s="35"/>
      <x:c r="H16" s="35"/>
      <x:c r="I16" s="35"/>
    </x:row>
  </x:sheetData>
  <x:mergeCells>
    <x:mergeCell ref="A15:I16"/>
    <x:mergeCell ref="A1:K1"/>
  </x:mergeCells>
  <x:pageMargins left="0.7" right="0.7" top="0.75" bottom="0.75" header="0.3" footer="0.3"/>
</x:worksheet>
</file>

<file path=xl/worksheets/sheet4.xml><?xml version="1.0" encoding="utf-8"?>
<x:worksheet xmlns:x="http://schemas.openxmlformats.org/spreadsheetml/2006/main">
  <x:sheetFormatPr defaultRowHeight="15"/>
  <x:cols>
    <x:col min="1" max="1" width="34" hidden="0" customWidth="1"/>
    <x:col min="2" max="2" width="16" hidden="0" customWidth="1"/>
    <x:col min="3" max="3" width="16" hidden="0" customWidth="1"/>
    <x:col min="4" max="4" width="14" hidden="0" customWidth="1"/>
    <x:col min="5" max="5" width="16" hidden="0" customWidth="1"/>
    <x:col min="6" max="6" width="14" hidden="0" customWidth="1"/>
    <x:col min="7" max="7" width="22" hidden="0" customWidth="1"/>
    <x:col min="8" max="8" width="24" hidden="0" customWidth="1"/>
  </x:cols>
  <x:sheetData>
    <x:row r="1">
      <x:c r="A1" s="34" t="str">
        <x:v>Interference, Noise and ADRV9026 Headroom Analysis</x:v>
      </x:c>
      <x:c r="B1" s="34"/>
      <x:c r="C1" s="34"/>
      <x:c r="D1" s="34"/>
      <x:c r="E1" s="34"/>
      <x:c r="F1" s="34"/>
      <x:c r="G1" s="34"/>
      <x:c r="H1" s="34"/>
    </x:row>
    <x:row r="2">
      <x:c r="A2" s="35"/>
      <x:c r="B2" s="35"/>
      <x:c r="C2" s="35"/>
      <x:c r="D2" s="35"/>
      <x:c r="E2" s="35"/>
      <x:c r="F2" s="35"/>
      <x:c r="G2" s="35"/>
      <x:c r="H2" s="35"/>
    </x:row>
    <x:row r="3">
      <x:c r="A3" s="14" t="str">
        <x:v>Source</x:v>
      </x:c>
      <x:c r="B3" s="14" t="str">
        <x:v>Frequency (MHz)</x:v>
      </x:c>
      <x:c r="C3" s="14" t="str">
        <x:v>EIRP (dBm)</x:v>
      </x:c>
      <x:c r="D3" s="14" t="str">
        <x:v>Range (km)</x:v>
      </x:c>
      <x:c r="E3" s="14" t="str">
        <x:v>Element gain (dB)</x:v>
      </x:c>
      <x:c r="F3" s="14" t="str">
        <x:v>FSPL (dB)</x:v>
      </x:c>
      <x:c r="G3" s="14" t="str">
        <x:v>Received at element (dBm)</x:v>
      </x:c>
      <x:c r="H3" s="14" t="str">
        <x:v>Classification</x:v>
      </x:c>
    </x:row>
    <x:row r="4">
      <x:c r="A4" s="45" t="str">
        <x:f>Inputs_Sources!A16</x:f>
        <x:v>J1 CW jammer</x:v>
      </x:c>
      <x:c r="B4" s="37" t="n">
        <x:f>Inputs_Sources!B16</x:f>
        <x:v>1575.42</x:v>
      </x:c>
      <x:c r="C4" s="37" t="n">
        <x:f>Inputs_Sources!D16</x:f>
        <x:v>50</x:v>
      </x:c>
      <x:c r="D4" s="37" t="n">
        <x:f>Inputs_Sources!E16</x:f>
        <x:v>5</x:v>
      </x:c>
      <x:c r="E4" s="37" t="n">
        <x:f>Inputs_Sources!F16</x:f>
        <x:v>-15</x:v>
      </x:c>
      <x:c r="F4" s="37" t="n">
        <x:f>32.44+20*LOG10(D4)+20*LOG10(B4)</x:f>
        <x:v>110.36732717769277</x:v>
      </x:c>
      <x:c r="G4" s="37" t="n">
        <x:f>C4-F4+E4</x:f>
        <x:v>-75.36732717769277</x:v>
      </x:c>
      <x:c r="H4" s="35" t="str">
        <x:v>In-band L1</x:v>
      </x:c>
    </x:row>
    <x:row r="5">
      <x:c r="A5" s="45" t="str">
        <x:f>Inputs_Sources!A17</x:f>
        <x:v>J2 noise jammer</x:v>
      </x:c>
      <x:c r="B5" s="37" t="n">
        <x:f>Inputs_Sources!B17</x:f>
        <x:v>1176.45</x:v>
      </x:c>
      <x:c r="C5" s="37" t="n">
        <x:f>Inputs_Sources!D17</x:f>
        <x:v>50</x:v>
      </x:c>
      <x:c r="D5" s="37" t="n">
        <x:f>Inputs_Sources!E17</x:f>
        <x:v>8</x:v>
      </x:c>
      <x:c r="E5" s="37" t="n">
        <x:f>Inputs_Sources!F17</x:f>
        <x:v>-12</x:v>
      </x:c>
      <x:c r="F5" s="37" t="n">
        <x:f>32.44+20*LOG10(D5)+20*LOG10(B5)</x:f>
        <x:v>111.91326922115427</x:v>
      </x:c>
      <x:c r="G5" s="37" t="n">
        <x:f>C5-F5+E5</x:f>
        <x:v>-73.91326922115427</x:v>
      </x:c>
      <x:c r="H5" s="35" t="str">
        <x:v>In-band L5</x:v>
      </x:c>
    </x:row>
    <x:row r="6">
      <x:c r="A6" s="45" t="str">
        <x:f>Inputs_Sources!A18</x:f>
        <x:v>J3 LTE base station</x:v>
      </x:c>
      <x:c r="B6" s="37" t="n">
        <x:f>Inputs_Sources!B18</x:f>
        <x:v>1486</x:v>
      </x:c>
      <x:c r="C6" s="37" t="n">
        <x:f>Inputs_Sources!D18</x:f>
        <x:v>60</x:v>
      </x:c>
      <x:c r="D6" s="37" t="n">
        <x:f>Inputs_Sources!E18</x:f>
        <x:v>4</x:v>
      </x:c>
      <x:c r="E6" s="37" t="n">
        <x:f>Inputs_Sources!F18</x:f>
        <x:v>-18</x:v>
      </x:c>
      <x:c r="F6" s="37" t="n">
        <x:f>32.44+20*LOG10(D6)+20*LOG10(B6)</x:f>
        <x:v>107.92157601505043</x:v>
      </x:c>
      <x:c r="G6" s="37" t="n">
        <x:f>C6-F6+E6</x:f>
        <x:v>-65.92157601505043</x:v>
      </x:c>
      <x:c r="H6" s="35" t="str">
        <x:v>Out-of-band blocker</x:v>
      </x:c>
    </x:row>
    <x:row r="7">
      <x:c r="A7" s="35"/>
      <x:c r="B7" s="35"/>
      <x:c r="C7" s="35"/>
      <x:c r="D7" s="35"/>
      <x:c r="E7" s="35"/>
      <x:c r="F7" s="35"/>
      <x:c r="G7" s="35"/>
      <x:c r="H7" s="35"/>
    </x:row>
    <x:row r="8">
      <x:c r="A8" s="14" t="str">
        <x:v>Path metric</x:v>
      </x:c>
      <x:c r="B8" s="14" t="str">
        <x:v>L1</x:v>
      </x:c>
      <x:c r="C8" s="14" t="str">
        <x:v>L2+L5</x:v>
      </x:c>
      <x:c r="D8" s="14" t="str">
        <x:v>Unit</x:v>
      </x:c>
      <x:c r="E8" s="35"/>
      <x:c r="F8" s="35"/>
      <x:c r="G8" s="35"/>
      <x:c r="H8" s="35"/>
    </x:row>
    <x:row r="9">
      <x:c r="A9" s="35" t="str">
        <x:v>RF bandwidth</x:v>
      </x:c>
      <x:c r="B9" s="37" t="n">
        <x:f>Inputs_Sources!B6</x:f>
        <x:v>46.834</x:v>
      </x:c>
      <x:c r="C9" s="37" t="n">
        <x:f>Inputs_Sources!C6</x:f>
        <x:v>82.916</x:v>
      </x:c>
      <x:c r="D9" s="35" t="str">
        <x:v>MHz</x:v>
      </x:c>
      <x:c r="E9" s="35"/>
      <x:c r="F9" s="35"/>
      <x:c r="G9" s="35"/>
      <x:c r="H9" s="35"/>
    </x:row>
    <x:row r="10">
      <x:c r="A10" s="35" t="str">
        <x:v>Thermal noise at antenna</x:v>
      </x:c>
      <x:c r="B10" s="37" t="n">
        <x:f>Inputs_Sources!B5+10*LOG10(B9*1000000)</x:f>
        <x:v>-97.2943874839471</x:v>
      </x:c>
      <x:c r="C10" s="37" t="n">
        <x:f>Inputs_Sources!C5+10*LOG10(C9*1000000)</x:f>
        <x:v>-94.8136165713087</x:v>
      </x:c>
      <x:c r="D10" s="35" t="str">
        <x:v>dBm</x:v>
      </x:c>
      <x:c r="E10" s="35"/>
      <x:c r="F10" s="35"/>
      <x:c r="G10" s="35"/>
      <x:c r="H10" s="35"/>
    </x:row>
    <x:row r="11">
      <x:c r="A11" s="35" t="str">
        <x:v>Pre-RFIC gain</x:v>
      </x:c>
      <x:c r="B11" s="37" t="n">
        <x:f>L1_Cascade!B12</x:f>
        <x:v>8</x:v>
      </x:c>
      <x:c r="C11" s="37" t="n">
        <x:f>L2L5_Cascade!B12</x:f>
        <x:v>12.8</x:v>
      </x:c>
      <x:c r="D11" s="35" t="str">
        <x:v>dB</x:v>
      </x:c>
      <x:c r="E11" s="35"/>
      <x:c r="F11" s="35"/>
      <x:c r="G11" s="35"/>
      <x:c r="H11" s="35"/>
    </x:row>
    <x:row r="12">
      <x:c r="A12" s="35" t="str">
        <x:v>Pre-RFIC NF</x:v>
      </x:c>
      <x:c r="B12" s="37" t="n">
        <x:f>L1_Cascade!B11</x:f>
        <x:v>1.35862545719609</x:v>
      </x:c>
      <x:c r="C12" s="37" t="n">
        <x:f>L2L5_Cascade!B11</x:f>
        <x:v>1.07136466285945</x:v>
      </x:c>
      <x:c r="D12" s="35" t="str">
        <x:v>dB</x:v>
      </x:c>
      <x:c r="E12" s="35"/>
      <x:c r="F12" s="35"/>
      <x:c r="G12" s="35"/>
      <x:c r="H12" s="35"/>
    </x:row>
    <x:row r="13">
      <x:c r="A13" s="35" t="str">
        <x:v>Dominant in-band jammer at element</x:v>
      </x:c>
      <x:c r="B13" s="37" t="n">
        <x:f>G4</x:f>
        <x:v>-75.36732717769277</x:v>
      </x:c>
      <x:c r="C13" s="37" t="n">
        <x:f>G5</x:f>
        <x:v>-73.91326922115427</x:v>
      </x:c>
      <x:c r="D13" s="35" t="str">
        <x:v>dBm</x:v>
      </x:c>
      <x:c r="E13" s="35"/>
      <x:c r="F13" s="35"/>
      <x:c r="G13" s="35"/>
      <x:c r="H13" s="35"/>
    </x:row>
    <x:row r="14">
      <x:c r="A14" s="35" t="str">
        <x:v>Dominant in-band jammer at RFIC input</x:v>
      </x:c>
      <x:c r="B14" s="37" t="n">
        <x:f>B13+B11</x:f>
        <x:v>-67.36732717769277</x:v>
      </x:c>
      <x:c r="C14" s="37" t="n">
        <x:f>C13+L2L5_Cascade!C4+L2L5_Cascade!C5-Inputs_Sources!C13</x:f>
        <x:v>-60.913269221154266</x:v>
      </x:c>
      <x:c r="D14" s="35" t="str">
        <x:v>dBm</x:v>
      </x:c>
      <x:c r="E14" s="35"/>
      <x:c r="F14" s="35"/>
      <x:c r="G14" s="35"/>
      <x:c r="H14" s="35"/>
    </x:row>
    <x:row r="15">
      <x:c r="A15" s="35" t="str">
        <x:v>J3 filter rejection used</x:v>
      </x:c>
      <x:c r="B15" s="36" t="n">
        <x:v>45</x:v>
      </x:c>
      <x:c r="C15" s="36" t="n">
        <x:v>35</x:v>
      </x:c>
      <x:c r="D15" s="35" t="str">
        <x:v>dB</x:v>
      </x:c>
      <x:c r="E15" s="35"/>
      <x:c r="F15" s="35"/>
      <x:c r="G15" s="35"/>
      <x:c r="H15" s="35"/>
    </x:row>
    <x:row r="16">
      <x:c r="A16" s="35" t="str">
        <x:v>J3 at RFIC input (conservative)</x:v>
      </x:c>
      <x:c r="B16" s="37" t="n">
        <x:f>G6+L1_Cascade!C4+L1_Cascade!C5-B15</x:f>
        <x:v>-98.92157601505043</x:v>
      </x:c>
      <x:c r="C16" s="37" t="n">
        <x:f>G6+L2L5_Cascade!C4+L2L5_Cascade!C5-C15</x:f>
        <x:v>-86.92157601505043</x:v>
      </x:c>
      <x:c r="D16" s="35" t="str">
        <x:v>dBm</x:v>
      </x:c>
      <x:c r="E16" s="35"/>
      <x:c r="F16" s="35"/>
      <x:c r="G16" s="35"/>
      <x:c r="H16" s="35"/>
    </x:row>
    <x:row r="17">
      <x:c r="A17" s="35" t="str">
        <x:v>Noise at RFIC input</x:v>
      </x:c>
      <x:c r="B17" s="37" t="n">
        <x:f>B10+B11+B12</x:f>
        <x:v>-87.93576202675102</x:v>
      </x:c>
      <x:c r="C17" s="37" t="n">
        <x:f>C10+C11+C12</x:f>
        <x:v>-80.94225190844925</x:v>
      </x:c>
      <x:c r="D17" s="35" t="str">
        <x:v>dBm</x:v>
      </x:c>
      <x:c r="E17" s="35"/>
      <x:c r="F17" s="35"/>
      <x:c r="G17" s="35"/>
      <x:c r="H17" s="35"/>
    </x:row>
    <x:row r="18">
      <x:c r="A18" s="35" t="str">
        <x:v>Nominal total RFIC input (linear sum)</x:v>
      </x:c>
      <x:c r="B18" s="37" t="n">
        <x:f>10*LOG10(10^(B14/10)+10^(B16/10)+10^(B17/10))</x:f>
        <x:v>-67.3263829976283</x:v>
      </x:c>
      <x:c r="C18" s="37" t="n">
        <x:f>10*LOG10(10^(C14/10)+10^(C16/10)+10^(C17/10))</x:f>
        <x:v>-60.8595738091296</x:v>
      </x:c>
      <x:c r="D18" s="35" t="str">
        <x:v>dBm</x:v>
      </x:c>
      <x:c r="E18" s="35"/>
      <x:c r="F18" s="35"/>
      <x:c r="G18" s="35"/>
      <x:c r="H18" s="35"/>
    </x:row>
    <x:row r="19">
      <x:c r="A19" s="35" t="str">
        <x:v>Rounded design RFIC input</x:v>
      </x:c>
      <x:c r="B19" s="37" t="n">
        <x:f>ROUND(B18,1)</x:f>
        <x:v>-67.3</x:v>
      </x:c>
      <x:c r="C19" s="37" t="n">
        <x:f>ROUND(C18,1)</x:f>
        <x:v>-60.9</x:v>
      </x:c>
      <x:c r="D19" s="35" t="str">
        <x:v>dBm</x:v>
      </x:c>
      <x:c r="E19" s="35"/>
      <x:c r="F19" s="35"/>
      <x:c r="G19" s="35"/>
      <x:c r="H19" s="35"/>
    </x:row>
    <x:row r="20">
      <x:c r="A20" s="35" t="str">
        <x:v>Equivalent 0 dBFS input reference</x:v>
      </x:c>
      <x:c r="B20" s="37" t="n">
        <x:f>Inputs_Sources!B9</x:f>
        <x:v>-10.7</x:v>
      </x:c>
      <x:c r="C20" s="37" t="n">
        <x:f>Inputs_Sources!C9</x:f>
        <x:v>-10.7</x:v>
      </x:c>
      <x:c r="D20" s="35" t="str">
        <x:v>dBm</x:v>
      </x:c>
      <x:c r="E20" s="35"/>
      <x:c r="F20" s="35"/>
      <x:c r="G20" s="35"/>
      <x:c r="H20" s="35"/>
    </x:row>
    <x:row r="21">
      <x:c r="A21" s="35" t="str">
        <x:v>Nominal full-scale headroom</x:v>
      </x:c>
      <x:c r="B21" s="37" t="n">
        <x:f>B20-B18</x:f>
        <x:v>56.6263829976283</x:v>
      </x:c>
      <x:c r="C21" s="37" t="n">
        <x:f>C20-C18</x:f>
        <x:v>50.1595738091296</x:v>
      </x:c>
      <x:c r="D21" s="35" t="str">
        <x:v>dB</x:v>
      </x:c>
      <x:c r="E21" s="35"/>
      <x:c r="F21" s="35"/>
      <x:c r="G21" s="35"/>
      <x:c r="H21" s="35"/>
    </x:row>
    <x:row r="22">
      <x:c r="A22" s="35" t="str">
        <x:v>Rounded full-scale headroom</x:v>
      </x:c>
      <x:c r="B22" s="37" t="n">
        <x:f>B20-B19</x:f>
        <x:v>56.599999999999994</x:v>
      </x:c>
      <x:c r="C22" s="37" t="n">
        <x:f>C20-C19</x:f>
        <x:v>50.2</x:v>
      </x:c>
      <x:c r="D22" s="35" t="str">
        <x:v>dB</x:v>
      </x:c>
      <x:c r="E22" s="35"/>
      <x:c r="F22" s="35"/>
      <x:c r="G22" s="35"/>
      <x:c r="H22" s="35"/>
    </x:row>
    <x:row r="23">
      <x:c r="A23" s="35" t="str">
        <x:v>Weakest GNSS reference in each RF path</x:v>
      </x:c>
      <x:c r="B23" s="36" t="n">
        <x:v>-128.5</x:v>
      </x:c>
      <x:c r="C23" s="36" t="n">
        <x:v>-130</x:v>
      </x:c>
      <x:c r="D23" s="35" t="str">
        <x:v>dBm</x:v>
      </x:c>
      <x:c r="E23" s="35"/>
      <x:c r="F23" s="35"/>
      <x:c r="G23" s="35"/>
      <x:c r="H23" s="35"/>
    </x:row>
    <x:row r="24">
      <x:c r="A24" s="35" t="str">
        <x:v>Worst interferer-to-weakest-signal span</x:v>
      </x:c>
      <x:c r="B24" s="37" t="n">
        <x:f>B13-B23</x:f>
        <x:v>53.13267282230723</x:v>
      </x:c>
      <x:c r="C24" s="37" t="n">
        <x:f>C13-C23</x:f>
        <x:v>56.086730778845734</x:v>
      </x:c>
      <x:c r="D24" s="35" t="str">
        <x:v>dB</x:v>
      </x:c>
      <x:c r="E24" s="35"/>
      <x:c r="F24" s="35"/>
      <x:c r="G24" s="35"/>
      <x:c r="H24" s="35"/>
    </x:row>
    <x:row r="25">
      <x:c r="A25" s="35" t="str">
        <x:v>Rx SFDR</x:v>
      </x:c>
      <x:c r="B25" s="37" t="n">
        <x:f>Inputs_Sources!B11</x:f>
        <x:v>81</x:v>
      </x:c>
      <x:c r="C25" s="37" t="n">
        <x:f>Inputs_Sources!C11</x:f>
        <x:v>81</x:v>
      </x:c>
      <x:c r="D25" s="35" t="str">
        <x:v>dBc</x:v>
      </x:c>
      <x:c r="E25" s="35"/>
      <x:c r="F25" s="35"/>
      <x:c r="G25" s="35"/>
      <x:c r="H25" s="35"/>
    </x:row>
    <x:row r="26">
      <x:c r="A26" s="35" t="str">
        <x:v>First-order SFDR comparison margin</x:v>
      </x:c>
      <x:c r="B26" s="37" t="n">
        <x:f>B25-B24</x:f>
        <x:v>27.867327177692772</x:v>
      </x:c>
      <x:c r="C26" s="37" t="n">
        <x:f>C25-C24</x:f>
        <x:v>24.913269221154266</x:v>
      </x:c>
      <x:c r="D26" s="35" t="str">
        <x:v>dB</x:v>
      </x:c>
      <x:c r="E26" s="35"/>
      <x:c r="F26" s="35"/>
      <x:c r="G26" s="35"/>
      <x:c r="H26" s="35"/>
    </x:row>
    <x:row r="27">
      <x:c r="A27" s="35"/>
      <x:c r="B27" s="35"/>
      <x:c r="C27" s="35"/>
      <x:c r="D27" s="35"/>
      <x:c r="E27" s="35"/>
      <x:c r="F27" s="35"/>
      <x:c r="G27" s="35"/>
      <x:c r="H27" s="35"/>
    </x:row>
    <x:row r="28">
      <x:c r="A28" s="81" t="str">
        <x:v>Headroom note: total RFIC input power is calculated by linear power summation of the dominant in-band jammer, conservatively filtered J3, and propagated thermal noise. For the shared lower path, the cascade NF uses the 1.2 dB L2 insertion-loss value, while J2 at 1176.45 MHz uses the 1.0 dB L5 insertion-loss value. The SFDR comparison is only a first-order sanity check; SFDR is not treated as the receiver's total dynamic range.</x:v>
      </x:c>
      <x:c r="B28" s="81"/>
      <x:c r="C28" s="81"/>
      <x:c r="D28" s="81"/>
      <x:c r="E28" s="81"/>
      <x:c r="F28" s="81"/>
      <x:c r="G28" s="81"/>
      <x:c r="H28" s="81"/>
    </x:row>
    <x:row r="29">
      <x:c r="A29" s="81"/>
      <x:c r="B29" s="81"/>
      <x:c r="C29" s="81"/>
      <x:c r="D29" s="81"/>
      <x:c r="E29" s="81"/>
      <x:c r="F29" s="81"/>
      <x:c r="G29" s="81"/>
      <x:c r="H29" s="81"/>
    </x:row>
    <x:row r="30">
      <x:c r="A30" s="81"/>
      <x:c r="B30" s="81"/>
      <x:c r="C30" s="81"/>
      <x:c r="D30" s="81"/>
      <x:c r="E30" s="81"/>
      <x:c r="F30" s="81"/>
      <x:c r="G30" s="81"/>
      <x:c r="H30" s="81"/>
    </x:row>
  </x:sheetData>
  <x:mergeCells>
    <x:mergeCell ref="A1:H1"/>
    <x:mergeCell ref="A28:H30"/>
  </x:mergeCells>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20" hidden="0" customWidth="1"/>
    <x:col min="3" max="3" width="18" hidden="0" customWidth="1"/>
    <x:col min="4" max="4" width="22" hidden="0" customWidth="1"/>
    <x:col min="5" max="5" width="18" hidden="0" customWidth="1"/>
    <x:col min="6" max="6" width="28" hidden="0" customWidth="1"/>
  </x:cols>
  <x:sheetData>
    <x:row r="1">
      <x:c r="A1" s="34" t="str">
        <x:v>Dominant Interferer Level Through the RF Front End</x:v>
      </x:c>
      <x:c r="B1" s="34"/>
      <x:c r="C1" s="34"/>
      <x:c r="D1" s="34"/>
      <x:c r="E1" s="34"/>
      <x:c r="F1" s="34"/>
    </x:row>
    <x:row r="2">
      <x:c r="A2" s="35"/>
      <x:c r="B2" s="35"/>
      <x:c r="C2" s="35"/>
      <x:c r="D2" s="35"/>
      <x:c r="E2" s="35"/>
      <x:c r="F2" s="35"/>
    </x:row>
    <x:row r="3">
      <x:c r="A3" s="14" t="str">
        <x:v>Stage</x:v>
      </x:c>
      <x:c r="B3" s="14" t="str">
        <x:v>L1 cumulative gain (dB)</x:v>
      </x:c>
      <x:c r="C3" s="14" t="str">
        <x:v>J1 level (dBm)</x:v>
      </x:c>
      <x:c r="D3" s="14" t="str">
        <x:v>J2 / L5 cumulative gain (dB)</x:v>
      </x:c>
      <x:c r="E3" s="14" t="str">
        <x:v>J2 level (dBm)</x:v>
      </x:c>
      <x:c r="F3" s="14" t="str">
        <x:v>Comment</x:v>
      </x:c>
    </x:row>
    <x:row r="4">
      <x:c r="A4" s="35" t="str">
        <x:v>Antenna element output</x:v>
      </x:c>
      <x:c r="B4" s="37" t="n">
        <x:v>0</x:v>
      </x:c>
      <x:c r="C4" s="37" t="n">
        <x:f>Interference_Headroom!G4</x:f>
        <x:v>-75.36732717769277</x:v>
      </x:c>
      <x:c r="D4" s="37" t="n">
        <x:v>0</x:v>
      </x:c>
      <x:c r="E4" s="37" t="n">
        <x:f>Interference_Headroom!G5</x:f>
        <x:v>-73.91326922115427</x:v>
      </x:c>
      <x:c r="F4" s="35" t="str">
        <x:v>FSPL result</x:v>
      </x:c>
    </x:row>
    <x:row r="5">
      <x:c r="A5" s="35" t="str">
        <x:v>After ADL5521 LNA</x:v>
      </x:c>
      <x:c r="B5" s="37" t="n">
        <x:v>13</x:v>
      </x:c>
      <x:c r="C5" s="37" t="n">
        <x:f>$C$4+B5</x:f>
        <x:v>-62.36732717769277</x:v>
      </x:c>
      <x:c r="D5" s="37" t="n">
        <x:v>15</x:v>
      </x:c>
      <x:c r="E5" s="37" t="n">
        <x:f>$E$4+D5</x:f>
        <x:v>-58.913269221154266</x:v>
      </x:c>
      <x:c r="F5" s="35" t="str">
        <x:v>LNA gain applied</x:v>
      </x:c>
    </x:row>
    <x:row r="6">
      <x:c r="A6" s="35" t="str">
        <x:v>After GNSS diplexer</x:v>
      </x:c>
      <x:c r="B6" s="37" t="n">
        <x:v>12</x:v>
      </x:c>
      <x:c r="C6" s="37" t="n">
        <x:f>$C$4+B6</x:f>
        <x:v>-63.36732717769277</x:v>
      </x:c>
      <x:c r="D6" s="37" t="n">
        <x:v>14</x:v>
      </x:c>
      <x:c r="E6" s="37" t="n">
        <x:f>$E$4+D6</x:f>
        <x:v>-59.913269221154266</x:v>
      </x:c>
      <x:c r="F6" s="35" t="str">
        <x:v>1 dB insertion loss</x:v>
      </x:c>
    </x:row>
    <x:row r="7">
      <x:c r="A7" s="35" t="str">
        <x:v>After preselector / RFIC input</x:v>
      </x:c>
      <x:c r="B7" s="37" t="n">
        <x:v>8</x:v>
      </x:c>
      <x:c r="C7" s="37" t="n">
        <x:f>$C$4+B7</x:f>
        <x:v>-67.36732717769277</x:v>
      </x:c>
      <x:c r="D7" s="37" t="n">
        <x:v>13</x:v>
      </x:c>
      <x:c r="E7" s="37" t="n">
        <x:f>$E$4+D7</x:f>
        <x:v>-60.913269221154266</x:v>
      </x:c>
      <x:c r="F7" s="35" t="str">
        <x:v>L5 insertion loss (1.0 dB) applied for J2</x:v>
      </x:c>
    </x:row>
    <x:row r="8">
      <x:c r="A8" s="35"/>
      <x:c r="B8" s="35"/>
      <x:c r="C8" s="35"/>
      <x:c r="D8" s="35"/>
      <x:c r="E8" s="35"/>
      <x:c r="F8" s="35"/>
    </x:row>
    <x:row r="9">
      <x:c r="A9" s="35"/>
      <x:c r="B9" s="35"/>
      <x:c r="C9" s="35"/>
      <x:c r="D9" s="35"/>
      <x:c r="E9" s="35"/>
      <x:c r="F9" s="35"/>
    </x:row>
    <x:row r="10">
      <x:c r="A10" s="35"/>
      <x:c r="B10" s="35"/>
      <x:c r="C10" s="35"/>
      <x:c r="D10" s="35"/>
      <x:c r="E10" s="35"/>
      <x:c r="F10" s="35"/>
    </x:row>
  </x:sheetData>
  <x:mergeCells>
    <x:mergeCell ref="A1:F1"/>
    <x:mergeCell ref="A10:F10"/>
  </x:mergeCells>
  <x:pageMargins left="0.7" right="0.7" top="0.75" bottom="0.75" header="0.3" footer="0.3"/>
</x:worksheet>
</file>